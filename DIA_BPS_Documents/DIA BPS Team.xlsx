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SWell_Loadtesting\DIA_BPS_0826\DIA_BPS_Documents\"/>
    </mc:Choice>
  </mc:AlternateContent>
  <xr:revisionPtr revIDLastSave="0" documentId="13_ncr:1_{8FD80091-00C6-4898-829F-F2E3FCF887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A Roster" sheetId="3" r:id="rId1"/>
  </sheets>
  <definedNames>
    <definedName name="_xlnm._FilterDatabase" localSheetId="0" hidden="1">'DIA Roster'!$A$2:$O$2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3" l="1" a="1"/>
  <c r="E47" i="3" s="1"/>
  <c r="E46" i="3" a="1"/>
  <c r="E46" i="3" s="1"/>
  <c r="E33" i="3" a="1"/>
  <c r="E33" i="3" s="1"/>
  <c r="E32" i="3" a="1"/>
  <c r="E32" i="3" s="1"/>
  <c r="E29" i="3" a="1"/>
  <c r="E29" i="3" s="1"/>
  <c r="E28" i="3" a="1"/>
  <c r="E28" i="3" s="1"/>
  <c r="E30" i="3" a="1"/>
  <c r="E30" i="3" s="1"/>
  <c r="E36" i="3" a="1"/>
  <c r="E36" i="3" s="1"/>
  <c r="E38" i="3" a="1"/>
  <c r="E38" i="3" s="1"/>
  <c r="E39" i="3" a="1"/>
  <c r="E39" i="3" s="1"/>
  <c r="E35" i="3" a="1"/>
  <c r="E35" i="3" s="1"/>
  <c r="E40" i="3" a="1"/>
  <c r="E40" i="3" s="1"/>
  <c r="E37" i="3" a="1"/>
  <c r="E37" i="3" s="1"/>
  <c r="E42" i="3" a="1"/>
  <c r="E42" i="3" s="1"/>
  <c r="E34" i="3" a="1"/>
  <c r="E34" i="3" s="1"/>
  <c r="E43" i="3" a="1"/>
  <c r="E43" i="3" s="1"/>
  <c r="E41" i="3" a="1"/>
  <c r="E41" i="3" s="1"/>
  <c r="E44" i="3" a="1"/>
  <c r="E44" i="3" s="1"/>
  <c r="E25" i="3" a="1"/>
  <c r="E25" i="3" s="1"/>
  <c r="E24" i="3" a="1"/>
  <c r="E2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<sst xmlns="http://schemas.openxmlformats.org/spreadsheetml/2006/main" count="320" uniqueCount="128">
  <si>
    <t>Distribution Lists</t>
  </si>
  <si>
    <t>Org</t>
  </si>
  <si>
    <t>Workstream</t>
  </si>
  <si>
    <t>Name</t>
  </si>
  <si>
    <t>Role</t>
  </si>
  <si>
    <t>Primary Email</t>
  </si>
  <si>
    <t>Secondary Email</t>
  </si>
  <si>
    <t>Notes</t>
  </si>
  <si>
    <t>CC on All</t>
  </si>
  <si>
    <t>Weekly Report</t>
  </si>
  <si>
    <t>Monthly Report</t>
  </si>
  <si>
    <t>Sprint Meetings</t>
  </si>
  <si>
    <t>Demo Only</t>
  </si>
  <si>
    <t>TBD</t>
  </si>
  <si>
    <t>DIA</t>
  </si>
  <si>
    <t>Customer</t>
  </si>
  <si>
    <t>DIA Acquisition Program Governance (APG)</t>
  </si>
  <si>
    <t>Y</t>
  </si>
  <si>
    <t>Benjamin Sears</t>
  </si>
  <si>
    <t>CO</t>
  </si>
  <si>
    <t>benjamin.sears@dodiis.mil</t>
  </si>
  <si>
    <t>N/A</t>
  </si>
  <si>
    <t>Caryn Nietubyc</t>
  </si>
  <si>
    <t>DIA DS</t>
  </si>
  <si>
    <t>caryn.nietubyc@dodiis.mil</t>
  </si>
  <si>
    <t>Eric Kephart</t>
  </si>
  <si>
    <t>RMO (CFO DO)</t>
  </si>
  <si>
    <t>Eric Peters</t>
  </si>
  <si>
    <t>SME, Execution</t>
  </si>
  <si>
    <t>eric.peters@dodiis.mil</t>
  </si>
  <si>
    <t>Johnnise Tisdale</t>
  </si>
  <si>
    <t>COR (primary)</t>
  </si>
  <si>
    <t>johnnise.tisdale@dodiis.mil</t>
  </si>
  <si>
    <t>Kathleen Cartwright</t>
  </si>
  <si>
    <t>SME, Programming and Execution</t>
  </si>
  <si>
    <t>Kathleen.Cartwright@dodiis.mil</t>
  </si>
  <si>
    <t>Lee Kinzler</t>
  </si>
  <si>
    <t>Program Manager</t>
  </si>
  <si>
    <t>Joseph.Kinzler@dodiis.mil</t>
  </si>
  <si>
    <t>Marc Auville</t>
  </si>
  <si>
    <t>SME, Sprint 0 POC</t>
  </si>
  <si>
    <t>Marc.Auville@dodiis.mil</t>
  </si>
  <si>
    <t>Mitchell Goodreau</t>
  </si>
  <si>
    <t>SME, Programming</t>
  </si>
  <si>
    <t>mitchell.goodreau@dodiis.mil</t>
  </si>
  <si>
    <t>Pierre Perrin</t>
  </si>
  <si>
    <t>Executive Sponsor</t>
  </si>
  <si>
    <t>Pierre.Perrin@dodiis.mil</t>
  </si>
  <si>
    <t>Y?</t>
  </si>
  <si>
    <t>Sam Hendrix</t>
  </si>
  <si>
    <t>Technical Point of Contact</t>
  </si>
  <si>
    <t>Samuel.Hendrix2@dodiis.mil</t>
  </si>
  <si>
    <t>Sharain.Brown</t>
  </si>
  <si>
    <t>sharain.brown@dodiis.mil</t>
  </si>
  <si>
    <t>William Upchurch</t>
  </si>
  <si>
    <t>COR (alternate)</t>
  </si>
  <si>
    <t>william.upchurch@dodiis.mil</t>
  </si>
  <si>
    <t>Zack Marshall</t>
  </si>
  <si>
    <t>zackary.marshall@dodiis.mil</t>
  </si>
  <si>
    <t>External</t>
  </si>
  <si>
    <t>Antonyous Fahim</t>
  </si>
  <si>
    <t>AFahim@triafed.com</t>
  </si>
  <si>
    <t>Jill Hood</t>
  </si>
  <si>
    <t>Jill.Hood@calypsis.io</t>
  </si>
  <si>
    <t>Kayla Wolfson</t>
  </si>
  <si>
    <t>Business Process Engineer</t>
  </si>
  <si>
    <t>Kayla.Wolfson@dodiis.mil</t>
  </si>
  <si>
    <t>KWolfson@triafed.com</t>
  </si>
  <si>
    <t>Sean Cummins</t>
  </si>
  <si>
    <t>scummins@triafed.com</t>
  </si>
  <si>
    <t>Sean Duncan</t>
  </si>
  <si>
    <t>CFO PMO Lead, Contractor</t>
  </si>
  <si>
    <t>Sean.Duncan@dodiis.mil</t>
  </si>
  <si>
    <t>sduncan@triafed.com</t>
  </si>
  <si>
    <t>GS</t>
  </si>
  <si>
    <t>Dev Team 1</t>
  </si>
  <si>
    <t>Aidan Engleka</t>
  </si>
  <si>
    <t>Developer</t>
  </si>
  <si>
    <t>Development</t>
  </si>
  <si>
    <t>Aram Serpekian</t>
  </si>
  <si>
    <t>Architect</t>
  </si>
  <si>
    <t>Part-time</t>
  </si>
  <si>
    <t>Corporate</t>
  </si>
  <si>
    <t>Blake Templeman</t>
  </si>
  <si>
    <t>Brad Weldon</t>
  </si>
  <si>
    <t>Account Oversight/PPBE SME</t>
  </si>
  <si>
    <t>Charlie Klein</t>
  </si>
  <si>
    <t>GIBS SME</t>
  </si>
  <si>
    <t>Leadership</t>
  </si>
  <si>
    <t>Dan Ware</t>
  </si>
  <si>
    <t>Technical Delivery Manager</t>
  </si>
  <si>
    <t>Darryl Price</t>
  </si>
  <si>
    <t>Technical Lead</t>
  </si>
  <si>
    <t>Dev Team 2</t>
  </si>
  <si>
    <t>Eugene Lim</t>
  </si>
  <si>
    <t>elim@gswell.com</t>
  </si>
  <si>
    <t>Functional</t>
  </si>
  <si>
    <t>Harshal Patel</t>
  </si>
  <si>
    <t>Business Analyst</t>
  </si>
  <si>
    <t>Jacob Labinger</t>
  </si>
  <si>
    <t>Development Lead</t>
  </si>
  <si>
    <t>Testing</t>
  </si>
  <si>
    <t>Jordan Helman</t>
  </si>
  <si>
    <t>QA Tester</t>
  </si>
  <si>
    <t>Justin Harrison</t>
  </si>
  <si>
    <t>Architect, Performance Testing</t>
  </si>
  <si>
    <t>Justin Watts</t>
  </si>
  <si>
    <t>Kana Raghavan</t>
  </si>
  <si>
    <t>QA Lead</t>
  </si>
  <si>
    <t>Matt Schumaker</t>
  </si>
  <si>
    <t>Functional Lead</t>
  </si>
  <si>
    <t>Mishelle Ganzorig</t>
  </si>
  <si>
    <t>Noah Gehman</t>
  </si>
  <si>
    <t xml:space="preserve">Phani Srichinta </t>
  </si>
  <si>
    <t>Perf Tester</t>
  </si>
  <si>
    <t>Psrichinta@gswell.com</t>
  </si>
  <si>
    <t>Rabia Ahmad</t>
  </si>
  <si>
    <t>Cloud SME</t>
  </si>
  <si>
    <t>Randall Abbott</t>
  </si>
  <si>
    <t>PPBE SME</t>
  </si>
  <si>
    <t>CM</t>
  </si>
  <si>
    <t>Data</t>
  </si>
  <si>
    <t>Tommy Anderson</t>
  </si>
  <si>
    <t>Victoria Crognale</t>
  </si>
  <si>
    <t>Senior Program Manager</t>
  </si>
  <si>
    <t>Zoe Handelman</t>
  </si>
  <si>
    <t>zhandelman@gswell.com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</si>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</sst>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1" applyBorder="1"/>
    <xf numFmtId="0" fontId="0" fillId="0" borderId="2" xfId="0" applyBorder="1"/>
    <xf numFmtId="0" fontId="0" fillId="0" borderId="3" xfId="0" applyBorder="1"/>
    <xf numFmtId="0" fontId="1" fillId="0" borderId="2" xfId="1" applyBorder="1"/>
    <xf numFmtId="0" fontId="0" fillId="0" borderId="5" xfId="0" applyBorder="1"/>
    <xf numFmtId="0" fontId="0" fillId="0" borderId="4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2" borderId="0" xfId="0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3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B39FC2"/>
      <color rgb="FFFFA49C"/>
      <color rgb="FFFFF2CC"/>
      <color rgb="FFE2EFDA"/>
      <color rgb="FFFCE4D6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uel.Hendrix2@dodiis.mil" TargetMode="External"/><Relationship Id="rId13" Type="http://schemas.openxmlformats.org/officeDocument/2006/relationships/hyperlink" Target="mailto:caryn.nietubyc@dodiis.mil" TargetMode="External"/><Relationship Id="rId18" Type="http://schemas.openxmlformats.org/officeDocument/2006/relationships/hyperlink" Target="mailto:zackary.marshall@dodiis.mil" TargetMode="External"/><Relationship Id="rId3" Type="http://schemas.openxmlformats.org/officeDocument/2006/relationships/hyperlink" Target="mailto:Kayla.Wolfson@dodiis.mil" TargetMode="External"/><Relationship Id="rId21" Type="http://schemas.openxmlformats.org/officeDocument/2006/relationships/hyperlink" Target="mailto:elim@gswell.com" TargetMode="External"/><Relationship Id="rId7" Type="http://schemas.openxmlformats.org/officeDocument/2006/relationships/hyperlink" Target="mailto:Marc.Auville@dodiis.mil" TargetMode="External"/><Relationship Id="rId12" Type="http://schemas.openxmlformats.org/officeDocument/2006/relationships/hyperlink" Target="mailto:sharain.brown@dodiis.mil" TargetMode="External"/><Relationship Id="rId17" Type="http://schemas.openxmlformats.org/officeDocument/2006/relationships/hyperlink" Target="mailto:mitchell.goodreau@dodiis.mil" TargetMode="External"/><Relationship Id="rId2" Type="http://schemas.openxmlformats.org/officeDocument/2006/relationships/hyperlink" Target="mailto:KWolfson@triafed.com" TargetMode="External"/><Relationship Id="rId16" Type="http://schemas.openxmlformats.org/officeDocument/2006/relationships/hyperlink" Target="mailto:Jill.Hood@calypsis.io" TargetMode="External"/><Relationship Id="rId20" Type="http://schemas.openxmlformats.org/officeDocument/2006/relationships/hyperlink" Target="mailto:Kathleen.Cartwright@dodiis.mil" TargetMode="External"/><Relationship Id="rId1" Type="http://schemas.openxmlformats.org/officeDocument/2006/relationships/hyperlink" Target="mailto:Sean.Duncan@dodiis.mil" TargetMode="External"/><Relationship Id="rId6" Type="http://schemas.openxmlformats.org/officeDocument/2006/relationships/hyperlink" Target="mailto:Joseph.Kinzler@dodiis.mil" TargetMode="External"/><Relationship Id="rId11" Type="http://schemas.openxmlformats.org/officeDocument/2006/relationships/hyperlink" Target="mailto:johnnise.tisdale@dodiis.mil" TargetMode="External"/><Relationship Id="rId5" Type="http://schemas.openxmlformats.org/officeDocument/2006/relationships/hyperlink" Target="mailto:Pierre.Perrin@dodiis.mil" TargetMode="External"/><Relationship Id="rId15" Type="http://schemas.openxmlformats.org/officeDocument/2006/relationships/hyperlink" Target="mailto:scummins@triafed.com" TargetMode="External"/><Relationship Id="rId23" Type="http://schemas.openxmlformats.org/officeDocument/2006/relationships/hyperlink" Target="mailto:Psrichinta@gswell.com" TargetMode="External"/><Relationship Id="rId10" Type="http://schemas.openxmlformats.org/officeDocument/2006/relationships/hyperlink" Target="mailto:benjamin.sears@dodiis.mil" TargetMode="External"/><Relationship Id="rId19" Type="http://schemas.openxmlformats.org/officeDocument/2006/relationships/hyperlink" Target="mailto:eric.peters@dodiis.mil" TargetMode="External"/><Relationship Id="rId4" Type="http://schemas.openxmlformats.org/officeDocument/2006/relationships/hyperlink" Target="mailto:sduncan@triafed.com" TargetMode="External"/><Relationship Id="rId9" Type="http://schemas.openxmlformats.org/officeDocument/2006/relationships/hyperlink" Target="mailto:william.upchurch@dodiis.mil" TargetMode="External"/><Relationship Id="rId14" Type="http://schemas.openxmlformats.org/officeDocument/2006/relationships/hyperlink" Target="mailto:AFahim@triafed.com" TargetMode="External"/><Relationship Id="rId22" Type="http://schemas.openxmlformats.org/officeDocument/2006/relationships/hyperlink" Target="mailto:zhandelman@gswe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9BCD-4990-4803-8925-F13897059754}">
  <dimension ref="A1:O52"/>
  <sheetViews>
    <sheetView tabSelected="1" workbookViewId="0">
      <pane ySplit="2" topLeftCell="A24" activePane="bottomLeft" state="frozen"/>
      <selection pane="bottomLeft" activeCell="A2" sqref="A2:O2"/>
    </sheetView>
  </sheetViews>
  <sheetFormatPr defaultRowHeight="15" x14ac:dyDescent="0.25"/>
  <cols>
    <col min="1" max="1" width="8.28515625" bestFit="1" customWidth="1"/>
    <col min="2" max="2" width="14.5703125" style="10" customWidth="1"/>
    <col min="3" max="3" width="18.85546875" bestFit="1" customWidth="1"/>
    <col min="4" max="4" width="39.85546875" bestFit="1" customWidth="1"/>
    <col min="5" max="5" width="29.5703125" bestFit="1" customWidth="1"/>
    <col min="6" max="6" width="22" bestFit="1" customWidth="1"/>
    <col min="7" max="7" width="10.28515625" customWidth="1"/>
    <col min="8" max="8" width="18.7109375" customWidth="1"/>
    <col min="9" max="9" width="21.140625" customWidth="1"/>
    <col min="10" max="10" width="17.7109375" bestFit="1" customWidth="1"/>
    <col min="11" max="11" width="23.140625" customWidth="1"/>
    <col min="12" max="12" width="16.7109375" customWidth="1"/>
    <col min="13" max="13" width="9.42578125" customWidth="1"/>
    <col min="14" max="14" width="8" customWidth="1"/>
    <col min="15" max="15" width="4.7109375" bestFit="1" customWidth="1"/>
  </cols>
  <sheetData>
    <row r="1" spans="1:15" x14ac:dyDescent="0.25">
      <c r="H1" s="20" t="s">
        <v>0</v>
      </c>
      <c r="I1" s="21"/>
      <c r="J1" s="21"/>
      <c r="K1" s="21"/>
      <c r="L1" s="21"/>
      <c r="M1" s="21"/>
      <c r="N1" s="21"/>
      <c r="O1" s="22"/>
    </row>
    <row r="2" spans="1:15" x14ac:dyDescent="0.25">
      <c r="A2" s="23" t="s">
        <v>1</v>
      </c>
      <c r="B2" s="23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5" t="s">
        <v>8</v>
      </c>
      <c r="I2" s="25" t="s">
        <v>9</v>
      </c>
      <c r="J2" s="25" t="s">
        <v>10</v>
      </c>
      <c r="K2" s="25" t="s">
        <v>11</v>
      </c>
      <c r="L2" s="25" t="s">
        <v>12</v>
      </c>
      <c r="M2" s="25" t="s">
        <v>13</v>
      </c>
      <c r="N2" s="25" t="s">
        <v>13</v>
      </c>
      <c r="O2" s="25" t="s">
        <v>13</v>
      </c>
    </row>
    <row r="3" spans="1:15" x14ac:dyDescent="0.25">
      <c r="A3" s="16" t="s">
        <v>14</v>
      </c>
      <c r="B3" s="16" t="s">
        <v>15</v>
      </c>
      <c r="C3" s="2" t="s">
        <v>18</v>
      </c>
      <c r="D3" s="2" t="s">
        <v>19</v>
      </c>
      <c r="E3" s="3" t="s">
        <v>20</v>
      </c>
      <c r="F3" s="3" t="s">
        <v>21</v>
      </c>
      <c r="G3" s="2"/>
      <c r="H3" s="12"/>
      <c r="I3" s="12" t="s">
        <v>17</v>
      </c>
      <c r="J3" s="12" t="s">
        <v>17</v>
      </c>
      <c r="K3" s="13"/>
      <c r="L3" s="13"/>
      <c r="M3" s="13"/>
      <c r="N3" s="13"/>
      <c r="O3" s="13"/>
    </row>
    <row r="4" spans="1:15" x14ac:dyDescent="0.25">
      <c r="A4" s="16" t="s">
        <v>14</v>
      </c>
      <c r="B4" s="16" t="s">
        <v>15</v>
      </c>
      <c r="C4" s="2" t="s">
        <v>22</v>
      </c>
      <c r="D4" s="2" t="s">
        <v>23</v>
      </c>
      <c r="E4" s="3" t="s">
        <v>24</v>
      </c>
      <c r="F4" s="3"/>
      <c r="G4" s="2"/>
      <c r="H4" s="13"/>
      <c r="I4" s="13"/>
      <c r="J4" s="13"/>
      <c r="K4" s="13"/>
      <c r="L4" s="13"/>
      <c r="M4" s="13"/>
      <c r="N4" s="13"/>
      <c r="O4" s="13"/>
    </row>
    <row r="5" spans="1:15" x14ac:dyDescent="0.25">
      <c r="A5" s="16" t="s">
        <v>14</v>
      </c>
      <c r="B5" s="16" t="s">
        <v>15</v>
      </c>
      <c r="C5" s="2" t="s">
        <v>25</v>
      </c>
      <c r="D5" s="2" t="s">
        <v>26</v>
      </c>
      <c r="E5" s="3"/>
      <c r="F5" s="3"/>
      <c r="G5" s="2"/>
      <c r="H5" s="13"/>
      <c r="I5" s="13"/>
      <c r="J5" s="13"/>
      <c r="K5" s="13"/>
      <c r="L5" s="13"/>
      <c r="M5" s="13"/>
      <c r="N5" s="13"/>
      <c r="O5" s="13"/>
    </row>
    <row r="6" spans="1:15" x14ac:dyDescent="0.25">
      <c r="A6" s="16" t="s">
        <v>14</v>
      </c>
      <c r="B6" s="16" t="s">
        <v>15</v>
      </c>
      <c r="C6" s="2" t="s">
        <v>27</v>
      </c>
      <c r="D6" s="2" t="s">
        <v>28</v>
      </c>
      <c r="E6" s="3" t="s">
        <v>29</v>
      </c>
      <c r="F6" s="3"/>
      <c r="G6" s="2"/>
      <c r="H6" s="12"/>
      <c r="I6" s="12"/>
      <c r="J6" s="12"/>
      <c r="K6" s="12" t="s">
        <v>17</v>
      </c>
      <c r="L6" s="13"/>
      <c r="M6" s="13"/>
      <c r="N6" s="13"/>
      <c r="O6" s="13"/>
    </row>
    <row r="7" spans="1:15" x14ac:dyDescent="0.25">
      <c r="A7" s="16" t="s">
        <v>14</v>
      </c>
      <c r="B7" s="16" t="s">
        <v>15</v>
      </c>
      <c r="C7" s="2" t="s">
        <v>30</v>
      </c>
      <c r="D7" s="2" t="s">
        <v>31</v>
      </c>
      <c r="E7" s="3" t="s">
        <v>32</v>
      </c>
      <c r="F7" s="3"/>
      <c r="G7" s="2"/>
      <c r="H7" s="12"/>
      <c r="I7" s="12" t="s">
        <v>17</v>
      </c>
      <c r="J7" s="12" t="s">
        <v>17</v>
      </c>
      <c r="K7" s="13"/>
      <c r="L7" s="13"/>
      <c r="M7" s="13"/>
      <c r="N7" s="13"/>
      <c r="O7" s="13"/>
    </row>
    <row r="8" spans="1:15" x14ac:dyDescent="0.25">
      <c r="A8" s="16" t="s">
        <v>14</v>
      </c>
      <c r="B8" s="16" t="s">
        <v>15</v>
      </c>
      <c r="C8" s="2" t="s">
        <v>33</v>
      </c>
      <c r="D8" s="2" t="s">
        <v>34</v>
      </c>
      <c r="E8" s="3" t="s">
        <v>35</v>
      </c>
      <c r="F8" s="3"/>
      <c r="G8" s="2"/>
      <c r="H8" s="13"/>
      <c r="I8" s="13"/>
      <c r="J8" s="13"/>
      <c r="K8" s="12" t="s">
        <v>17</v>
      </c>
      <c r="L8" s="13"/>
      <c r="M8" s="13"/>
      <c r="N8" s="13"/>
      <c r="O8" s="13"/>
    </row>
    <row r="9" spans="1:15" x14ac:dyDescent="0.25">
      <c r="A9" s="16" t="s">
        <v>14</v>
      </c>
      <c r="B9" s="16" t="s">
        <v>15</v>
      </c>
      <c r="C9" s="2" t="s">
        <v>36</v>
      </c>
      <c r="D9" s="2" t="s">
        <v>37</v>
      </c>
      <c r="E9" s="3" t="s">
        <v>38</v>
      </c>
      <c r="F9" s="3"/>
      <c r="G9" s="2"/>
      <c r="H9" s="12" t="s">
        <v>17</v>
      </c>
      <c r="I9" s="12" t="s">
        <v>17</v>
      </c>
      <c r="J9" s="12" t="s">
        <v>17</v>
      </c>
      <c r="K9" s="12" t="s">
        <v>17</v>
      </c>
      <c r="L9" s="13"/>
      <c r="M9" s="13"/>
      <c r="N9" s="13"/>
      <c r="O9" s="13"/>
    </row>
    <row r="10" spans="1:15" x14ac:dyDescent="0.25">
      <c r="A10" s="16" t="s">
        <v>14</v>
      </c>
      <c r="B10" s="16" t="s">
        <v>15</v>
      </c>
      <c r="C10" s="2" t="s">
        <v>39</v>
      </c>
      <c r="D10" s="2" t="s">
        <v>40</v>
      </c>
      <c r="E10" s="3" t="s">
        <v>41</v>
      </c>
      <c r="F10" s="3"/>
      <c r="G10" s="2"/>
      <c r="H10" s="12"/>
      <c r="I10" s="12" t="s">
        <v>17</v>
      </c>
      <c r="J10" s="12" t="s">
        <v>17</v>
      </c>
      <c r="K10" s="12" t="s">
        <v>17</v>
      </c>
      <c r="L10" s="13"/>
      <c r="M10" s="13"/>
      <c r="N10" s="13"/>
      <c r="O10" s="13"/>
    </row>
    <row r="11" spans="1:15" x14ac:dyDescent="0.25">
      <c r="A11" s="16" t="s">
        <v>14</v>
      </c>
      <c r="B11" s="16" t="s">
        <v>15</v>
      </c>
      <c r="C11" s="2" t="s">
        <v>42</v>
      </c>
      <c r="D11" s="2" t="s">
        <v>43</v>
      </c>
      <c r="E11" s="3" t="s">
        <v>44</v>
      </c>
      <c r="F11" s="3"/>
      <c r="G11" s="2"/>
      <c r="H11" s="13"/>
      <c r="I11" s="13"/>
      <c r="J11" s="13"/>
      <c r="K11" s="12" t="s">
        <v>17</v>
      </c>
      <c r="L11" s="13"/>
      <c r="M11" s="13"/>
      <c r="N11" s="13"/>
      <c r="O11" s="13"/>
    </row>
    <row r="12" spans="1:15" x14ac:dyDescent="0.25">
      <c r="A12" s="16" t="s">
        <v>14</v>
      </c>
      <c r="B12" s="16" t="s">
        <v>15</v>
      </c>
      <c r="C12" s="2" t="s">
        <v>45</v>
      </c>
      <c r="D12" s="2" t="s">
        <v>46</v>
      </c>
      <c r="E12" s="3" t="s">
        <v>47</v>
      </c>
      <c r="F12" s="3" t="s">
        <v>21</v>
      </c>
      <c r="G12" s="2"/>
      <c r="H12" s="12"/>
      <c r="I12" s="12" t="s">
        <v>17</v>
      </c>
      <c r="J12" s="12" t="s">
        <v>17</v>
      </c>
      <c r="K12" s="12"/>
      <c r="L12" s="12" t="s">
        <v>48</v>
      </c>
      <c r="M12" s="13"/>
      <c r="N12" s="13"/>
      <c r="O12" s="13"/>
    </row>
    <row r="13" spans="1:15" x14ac:dyDescent="0.25">
      <c r="A13" s="16" t="s">
        <v>14</v>
      </c>
      <c r="B13" s="16" t="s">
        <v>15</v>
      </c>
      <c r="C13" s="2" t="s">
        <v>49</v>
      </c>
      <c r="D13" s="2" t="s">
        <v>50</v>
      </c>
      <c r="E13" s="3" t="s">
        <v>51</v>
      </c>
      <c r="F13" s="3"/>
      <c r="G13" s="2"/>
      <c r="H13" s="12" t="s">
        <v>17</v>
      </c>
      <c r="I13" s="12" t="s">
        <v>17</v>
      </c>
      <c r="J13" s="12" t="s">
        <v>17</v>
      </c>
      <c r="K13" s="12" t="s">
        <v>17</v>
      </c>
      <c r="L13" s="13"/>
      <c r="M13" s="13"/>
      <c r="N13" s="13"/>
      <c r="O13" s="13"/>
    </row>
    <row r="14" spans="1:15" x14ac:dyDescent="0.25">
      <c r="A14" s="16" t="s">
        <v>14</v>
      </c>
      <c r="B14" s="16" t="s">
        <v>15</v>
      </c>
      <c r="C14" s="2" t="s">
        <v>52</v>
      </c>
      <c r="D14" s="2" t="s">
        <v>16</v>
      </c>
      <c r="E14" s="3" t="s">
        <v>53</v>
      </c>
      <c r="F14" s="3"/>
      <c r="G14" s="2"/>
      <c r="H14" s="12"/>
      <c r="I14" s="12" t="s">
        <v>17</v>
      </c>
      <c r="J14" s="12" t="s">
        <v>17</v>
      </c>
      <c r="K14" s="13"/>
      <c r="L14" s="13"/>
      <c r="M14" s="13"/>
      <c r="N14" s="13"/>
      <c r="O14" s="13"/>
    </row>
    <row r="15" spans="1:15" x14ac:dyDescent="0.25">
      <c r="A15" s="16" t="s">
        <v>14</v>
      </c>
      <c r="B15" s="16" t="s">
        <v>15</v>
      </c>
      <c r="C15" s="2" t="s">
        <v>54</v>
      </c>
      <c r="D15" s="8" t="s">
        <v>55</v>
      </c>
      <c r="E15" s="3" t="s">
        <v>56</v>
      </c>
      <c r="F15" s="3"/>
      <c r="G15" s="2"/>
      <c r="H15" s="12" t="s">
        <v>17</v>
      </c>
      <c r="I15" s="12" t="s">
        <v>17</v>
      </c>
      <c r="J15" s="12" t="s">
        <v>17</v>
      </c>
      <c r="K15" s="13"/>
      <c r="L15" s="13"/>
      <c r="M15" s="13"/>
      <c r="N15" s="13"/>
      <c r="O15" s="13"/>
    </row>
    <row r="16" spans="1:15" x14ac:dyDescent="0.25">
      <c r="A16" s="16" t="s">
        <v>14</v>
      </c>
      <c r="B16" s="16" t="s">
        <v>15</v>
      </c>
      <c r="C16" s="2" t="s">
        <v>57</v>
      </c>
      <c r="D16" s="8" t="s">
        <v>43</v>
      </c>
      <c r="E16" s="11" t="s">
        <v>58</v>
      </c>
      <c r="F16" s="6"/>
      <c r="G16" s="4"/>
      <c r="H16" s="14"/>
      <c r="I16" s="14"/>
      <c r="J16" s="14"/>
      <c r="K16" s="15" t="s">
        <v>17</v>
      </c>
      <c r="L16" s="14"/>
      <c r="M16" s="14"/>
      <c r="N16" s="14"/>
      <c r="O16" s="14"/>
    </row>
    <row r="17" spans="1:15" x14ac:dyDescent="0.25">
      <c r="A17" s="16" t="s">
        <v>59</v>
      </c>
      <c r="B17" s="16" t="s">
        <v>15</v>
      </c>
      <c r="C17" s="2" t="s">
        <v>60</v>
      </c>
      <c r="D17" s="8" t="s">
        <v>13</v>
      </c>
      <c r="E17" s="3" t="s">
        <v>61</v>
      </c>
      <c r="F17" s="3"/>
      <c r="G17" s="4"/>
      <c r="H17" s="14"/>
      <c r="I17" s="14"/>
      <c r="J17" s="14"/>
      <c r="K17" s="15" t="s">
        <v>17</v>
      </c>
      <c r="L17" s="14"/>
      <c r="M17" s="14"/>
      <c r="N17" s="14"/>
      <c r="O17" s="14"/>
    </row>
    <row r="18" spans="1:15" x14ac:dyDescent="0.25">
      <c r="A18" s="16" t="s">
        <v>59</v>
      </c>
      <c r="B18" s="16" t="s">
        <v>15</v>
      </c>
      <c r="C18" s="2" t="s">
        <v>62</v>
      </c>
      <c r="D18" s="7" t="s">
        <v>13</v>
      </c>
      <c r="E18" s="3" t="s">
        <v>63</v>
      </c>
      <c r="F18" s="6"/>
      <c r="G18" s="4"/>
      <c r="H18" s="14"/>
      <c r="I18" s="14"/>
      <c r="J18" s="14"/>
      <c r="K18" s="15" t="s">
        <v>17</v>
      </c>
      <c r="L18" s="14"/>
      <c r="M18" s="14"/>
      <c r="N18" s="14"/>
      <c r="O18" s="14"/>
    </row>
    <row r="19" spans="1:15" x14ac:dyDescent="0.25">
      <c r="A19" s="16" t="s">
        <v>59</v>
      </c>
      <c r="B19" s="16" t="s">
        <v>15</v>
      </c>
      <c r="C19" s="2" t="s">
        <v>64</v>
      </c>
      <c r="D19" s="2" t="s">
        <v>65</v>
      </c>
      <c r="E19" s="3" t="s">
        <v>66</v>
      </c>
      <c r="F19" s="3" t="s">
        <v>67</v>
      </c>
      <c r="G19" s="2"/>
      <c r="H19" s="12"/>
      <c r="I19" s="12" t="s">
        <v>17</v>
      </c>
      <c r="J19" s="12" t="s">
        <v>17</v>
      </c>
      <c r="K19" s="12" t="s">
        <v>17</v>
      </c>
      <c r="L19" s="14"/>
      <c r="M19" s="14"/>
      <c r="N19" s="14"/>
      <c r="O19" s="14"/>
    </row>
    <row r="20" spans="1:15" x14ac:dyDescent="0.25">
      <c r="A20" s="16" t="s">
        <v>59</v>
      </c>
      <c r="B20" s="16" t="s">
        <v>15</v>
      </c>
      <c r="C20" s="2" t="s">
        <v>68</v>
      </c>
      <c r="D20" s="2" t="s">
        <v>13</v>
      </c>
      <c r="E20" s="3" t="s">
        <v>69</v>
      </c>
      <c r="F20" s="3"/>
      <c r="G20" s="2"/>
      <c r="H20" s="13"/>
      <c r="I20" s="13"/>
      <c r="J20" s="13"/>
      <c r="K20" s="12" t="s">
        <v>17</v>
      </c>
      <c r="L20" s="13"/>
      <c r="M20" s="13"/>
      <c r="N20" s="13"/>
      <c r="O20" s="13"/>
    </row>
    <row r="21" spans="1:15" x14ac:dyDescent="0.25">
      <c r="A21" s="16" t="s">
        <v>59</v>
      </c>
      <c r="B21" s="16" t="s">
        <v>15</v>
      </c>
      <c r="C21" s="2" t="s">
        <v>70</v>
      </c>
      <c r="D21" s="2" t="s">
        <v>71</v>
      </c>
      <c r="E21" s="3" t="s">
        <v>72</v>
      </c>
      <c r="F21" s="3" t="s">
        <v>73</v>
      </c>
      <c r="G21" s="2"/>
      <c r="H21" s="12"/>
      <c r="I21" s="12" t="s">
        <v>17</v>
      </c>
      <c r="J21" s="12" t="s">
        <v>17</v>
      </c>
      <c r="K21" s="12" t="s">
        <v>17</v>
      </c>
      <c r="L21" s="13"/>
      <c r="M21" s="13"/>
      <c r="N21" s="13"/>
      <c r="O21" s="13"/>
    </row>
    <row r="22" spans="1:15" x14ac:dyDescent="0.25">
      <c r="A22" s="16" t="s">
        <v>74</v>
      </c>
      <c r="B22" s="16" t="s">
        <v>120</v>
      </c>
      <c r="C22" s="2" t="s">
        <v>13</v>
      </c>
      <c r="D22" s="2"/>
      <c r="E22" s="3"/>
      <c r="F22" s="3"/>
      <c r="G22" s="2"/>
      <c r="H22" s="13"/>
      <c r="I22" s="13"/>
      <c r="J22" s="13"/>
      <c r="K22" s="12"/>
      <c r="L22" s="13"/>
      <c r="M22" s="13"/>
      <c r="N22" s="13"/>
      <c r="O22" s="13"/>
    </row>
    <row r="23" spans="1:15" x14ac:dyDescent="0.25">
      <c r="A23" s="16" t="s">
        <v>74</v>
      </c>
      <c r="B23" s="16" t="s">
        <v>120</v>
      </c>
      <c r="C23" s="2" t="s">
        <v>13</v>
      </c>
      <c r="D23" s="2"/>
      <c r="E23" s="3"/>
      <c r="F23" s="3"/>
      <c r="G23" s="5"/>
      <c r="H23" s="13"/>
      <c r="I23" s="13"/>
      <c r="J23" s="13"/>
      <c r="K23" s="12"/>
      <c r="L23" s="13"/>
      <c r="M23" s="13"/>
      <c r="N23" s="13"/>
      <c r="O23" s="13"/>
    </row>
    <row r="24" spans="1:15" x14ac:dyDescent="0.25">
      <c r="A24" s="16" t="s">
        <v>74</v>
      </c>
      <c r="B24" s="16" t="s">
        <v>82</v>
      </c>
      <c r="C24" s="2" t="s">
        <v>83</v>
      </c>
      <c r="D24" s="2" t="s">
        <v>46</v>
      </c>
      <c r="E24" s="3" t="str" cm="1">
        <f t="array" ref="E24">_xlfn.LET(_xlpm.space,SEARCH(" ",C24),_xlpm.first,LEFT(C24,1),_xlpm.last,MID(C24,_xlpm.space+1,LEN(C24)),LOWER(_xlpm.first&amp;_xlpm.last&amp;"@gswell.com"))</f>
        <v>btempleman@gswell.com</v>
      </c>
      <c r="F24" s="3"/>
      <c r="G24" s="2"/>
      <c r="H24" s="13"/>
      <c r="I24" s="12" t="s">
        <v>17</v>
      </c>
      <c r="J24" s="12" t="s">
        <v>17</v>
      </c>
      <c r="K24" s="13"/>
      <c r="L24" s="12" t="s">
        <v>17</v>
      </c>
      <c r="M24" s="13"/>
      <c r="N24" s="13"/>
      <c r="O24" s="13"/>
    </row>
    <row r="25" spans="1:15" x14ac:dyDescent="0.25">
      <c r="A25" s="16" t="s">
        <v>74</v>
      </c>
      <c r="B25" s="16" t="s">
        <v>82</v>
      </c>
      <c r="C25" s="2" t="s">
        <v>84</v>
      </c>
      <c r="D25" s="2" t="s">
        <v>85</v>
      </c>
      <c r="E25" s="3" t="str" cm="1">
        <f t="array" ref="E25">_xlfn.LET(_xlpm.space,SEARCH(" ",C25),_xlpm.first,LEFT(C25,1),_xlpm.last,MID(C25,_xlpm.space+1,LEN(C25)),LOWER(_xlpm.first&amp;_xlpm.last&amp;"@gswell.com"))</f>
        <v>bweldon@gswell.com</v>
      </c>
      <c r="F25" s="3"/>
      <c r="G25" s="2"/>
      <c r="H25" s="13"/>
      <c r="I25" s="12" t="s">
        <v>17</v>
      </c>
      <c r="J25" s="12" t="s">
        <v>17</v>
      </c>
      <c r="K25" s="13"/>
      <c r="L25" s="12" t="s">
        <v>17</v>
      </c>
      <c r="M25" s="13"/>
      <c r="N25" s="13"/>
      <c r="O25" s="13"/>
    </row>
    <row r="26" spans="1:15" x14ac:dyDescent="0.25">
      <c r="A26" s="16" t="s">
        <v>74</v>
      </c>
      <c r="B26" s="16" t="s">
        <v>121</v>
      </c>
      <c r="C26" s="2" t="s">
        <v>13</v>
      </c>
      <c r="D26" s="2"/>
      <c r="E26" s="3"/>
      <c r="F26" s="3"/>
      <c r="G26" s="2"/>
      <c r="H26" s="13"/>
      <c r="I26" s="13"/>
      <c r="J26" s="13"/>
      <c r="K26" s="12"/>
      <c r="L26" s="13"/>
      <c r="M26" s="13"/>
      <c r="N26" s="13"/>
      <c r="O26" s="13"/>
    </row>
    <row r="27" spans="1:15" x14ac:dyDescent="0.25">
      <c r="A27" s="16" t="s">
        <v>74</v>
      </c>
      <c r="B27" s="16" t="s">
        <v>121</v>
      </c>
      <c r="C27" s="2" t="s">
        <v>13</v>
      </c>
      <c r="D27" s="2"/>
      <c r="E27" s="3"/>
      <c r="F27" s="3"/>
      <c r="G27" s="2"/>
      <c r="H27" s="13"/>
      <c r="I27" s="13"/>
      <c r="J27" s="13"/>
      <c r="K27" s="12"/>
      <c r="L27" s="13"/>
      <c r="M27" s="13"/>
      <c r="N27" s="13"/>
      <c r="O27" s="13"/>
    </row>
    <row r="28" spans="1:15" x14ac:dyDescent="0.25">
      <c r="A28" s="16" t="s">
        <v>74</v>
      </c>
      <c r="B28" s="16" t="s">
        <v>75</v>
      </c>
      <c r="C28" s="2" t="s">
        <v>76</v>
      </c>
      <c r="D28" s="2" t="s">
        <v>77</v>
      </c>
      <c r="E28" s="3" t="str" cm="1">
        <f t="array" ref="E28">_xlfn.LET(_xlpm.space,SEARCH(" ",C28),_xlpm.first,LEFT(C28,1),_xlpm.last,MID(C28,_xlpm.space+1,LEN(C28)),LOWER(_xlpm.first&amp;_xlpm.last&amp;"@gswell.com"))</f>
        <v>aengleka@gswell.com</v>
      </c>
      <c r="F28" s="3"/>
      <c r="G28" s="2"/>
      <c r="H28" s="13"/>
      <c r="I28" s="13"/>
      <c r="J28" s="13"/>
      <c r="K28" s="12" t="s">
        <v>17</v>
      </c>
      <c r="L28" s="13"/>
      <c r="M28" s="13"/>
      <c r="N28" s="13"/>
      <c r="O28" s="13"/>
    </row>
    <row r="29" spans="1:15" x14ac:dyDescent="0.25">
      <c r="A29" s="16" t="s">
        <v>74</v>
      </c>
      <c r="B29" s="16" t="s">
        <v>75</v>
      </c>
      <c r="C29" s="2" t="s">
        <v>111</v>
      </c>
      <c r="D29" s="2" t="s">
        <v>77</v>
      </c>
      <c r="E29" s="3" t="str" cm="1">
        <f t="array" ref="E29">_xlfn.LET(_xlpm.space,SEARCH(" ",C29),_xlpm.first,LEFT(C29,1),_xlpm.last,MID(C29,_xlpm.space+1,LEN(C29)),LOWER(_xlpm.first&amp;_xlpm.last&amp;"@gswell.com"))</f>
        <v>mganzorig@gswell.com</v>
      </c>
      <c r="F29" s="3"/>
      <c r="G29" s="2"/>
      <c r="H29" s="13"/>
      <c r="I29" s="13"/>
      <c r="J29" s="13"/>
      <c r="K29" s="12" t="s">
        <v>17</v>
      </c>
      <c r="L29" s="13"/>
      <c r="M29" s="13"/>
      <c r="N29" s="13"/>
      <c r="O29" s="13"/>
    </row>
    <row r="30" spans="1:15" x14ac:dyDescent="0.25">
      <c r="A30" s="16" t="s">
        <v>74</v>
      </c>
      <c r="B30" s="16" t="s">
        <v>75</v>
      </c>
      <c r="C30" s="2" t="s">
        <v>122</v>
      </c>
      <c r="D30" s="2" t="s">
        <v>100</v>
      </c>
      <c r="E30" s="3" t="str" cm="1">
        <f t="array" ref="E30">_xlfn.LET(_xlpm.space,SEARCH(" ",C30),_xlpm.first,LEFT(C30,1),_xlpm.last,MID(C30,_xlpm.space+1,LEN(C30)),LOWER(_xlpm.first&amp;_xlpm.last&amp;"@gswell.com"))</f>
        <v>tanderson@gswell.com</v>
      </c>
      <c r="F30" s="3"/>
      <c r="G30" s="2"/>
      <c r="H30" s="13"/>
      <c r="I30" s="13"/>
      <c r="J30" s="13"/>
      <c r="K30" s="12" t="s">
        <v>17</v>
      </c>
      <c r="L30" s="13"/>
      <c r="M30" s="13"/>
      <c r="N30" s="13"/>
      <c r="O30" s="13"/>
    </row>
    <row r="31" spans="1:15" x14ac:dyDescent="0.25">
      <c r="A31" s="16" t="s">
        <v>74</v>
      </c>
      <c r="B31" s="16" t="s">
        <v>93</v>
      </c>
      <c r="C31" s="2" t="s">
        <v>94</v>
      </c>
      <c r="D31" s="2" t="s">
        <v>77</v>
      </c>
      <c r="E31" s="3" t="s">
        <v>95</v>
      </c>
      <c r="F31" s="3"/>
      <c r="G31" s="2"/>
      <c r="H31" s="13"/>
      <c r="I31" s="13"/>
      <c r="J31" s="13"/>
      <c r="K31" s="12" t="s">
        <v>17</v>
      </c>
      <c r="L31" s="13"/>
      <c r="M31" s="13"/>
      <c r="N31" s="13"/>
      <c r="O31" s="13"/>
    </row>
    <row r="32" spans="1:15" x14ac:dyDescent="0.25">
      <c r="A32" s="16" t="s">
        <v>74</v>
      </c>
      <c r="B32" s="16" t="s">
        <v>93</v>
      </c>
      <c r="C32" s="2" t="s">
        <v>99</v>
      </c>
      <c r="D32" s="2" t="s">
        <v>100</v>
      </c>
      <c r="E32" s="3" t="str" cm="1">
        <f t="array" ref="E32">_xlfn.LET(_xlpm.space,SEARCH(" ",C32),_xlpm.first,LEFT(C32,1),_xlpm.last,MID(C32,_xlpm.space+1,LEN(C32)),LOWER(_xlpm.first&amp;_xlpm.last&amp;"@gswell.com"))</f>
        <v>jlabinger@gswell.com</v>
      </c>
      <c r="F32" s="3"/>
      <c r="G32" s="2"/>
      <c r="H32" s="13"/>
      <c r="I32" s="13"/>
      <c r="J32" s="13"/>
      <c r="K32" s="12" t="s">
        <v>17</v>
      </c>
      <c r="L32" s="13"/>
      <c r="M32" s="13"/>
      <c r="N32" s="13"/>
      <c r="O32" s="13"/>
    </row>
    <row r="33" spans="1:15" x14ac:dyDescent="0.25">
      <c r="A33" s="16" t="s">
        <v>74</v>
      </c>
      <c r="B33" s="16" t="s">
        <v>93</v>
      </c>
      <c r="C33" s="2" t="s">
        <v>112</v>
      </c>
      <c r="D33" s="2" t="s">
        <v>77</v>
      </c>
      <c r="E33" s="3" t="str" cm="1">
        <f t="array" ref="E33">_xlfn.LET(_xlpm.space,SEARCH(" ",C33),_xlpm.first,LEFT(C33,1),_xlpm.last,MID(C33,_xlpm.space+1,LEN(C33)),LOWER(_xlpm.first&amp;_xlpm.last&amp;"@gswell.com"))</f>
        <v>ngehman@gswell.com</v>
      </c>
      <c r="F33" s="3"/>
      <c r="G33" s="2"/>
      <c r="H33" s="13"/>
      <c r="I33" s="13"/>
      <c r="J33" s="13"/>
      <c r="K33" s="12" t="s">
        <v>17</v>
      </c>
      <c r="L33" s="13"/>
      <c r="M33" s="13"/>
      <c r="N33" s="13"/>
      <c r="O33" s="13"/>
    </row>
    <row r="34" spans="1:15" x14ac:dyDescent="0.25">
      <c r="A34" s="16" t="s">
        <v>74</v>
      </c>
      <c r="B34" s="16" t="s">
        <v>78</v>
      </c>
      <c r="C34" s="5" t="s">
        <v>79</v>
      </c>
      <c r="D34" s="8" t="s">
        <v>80</v>
      </c>
      <c r="E34" s="3" t="str" cm="1">
        <f t="array" ref="E34">_xlfn.LET(_xlpm.space,SEARCH(" ",C34),_xlpm.first,LEFT(C34,1),_xlpm.last,MID(C34,_xlpm.space+1,LEN(C34)),LOWER(_xlpm.first&amp;_xlpm.last&amp;"@gswell.com"))</f>
        <v>aserpekian@gswell.com</v>
      </c>
      <c r="F34" s="3"/>
      <c r="G34" s="2" t="s">
        <v>81</v>
      </c>
      <c r="H34" s="13"/>
      <c r="I34" s="13"/>
      <c r="J34" s="13"/>
      <c r="K34" s="12" t="s">
        <v>17</v>
      </c>
      <c r="L34" s="13"/>
      <c r="M34" s="13"/>
      <c r="N34" s="13"/>
      <c r="O34" s="13"/>
    </row>
    <row r="35" spans="1:15" x14ac:dyDescent="0.25">
      <c r="A35" s="16" t="s">
        <v>74</v>
      </c>
      <c r="B35" s="16" t="s">
        <v>78</v>
      </c>
      <c r="C35" s="2" t="s">
        <v>86</v>
      </c>
      <c r="D35" s="2" t="s">
        <v>87</v>
      </c>
      <c r="E35" s="3" t="str" cm="1">
        <f t="array" ref="E35">_xlfn.LET(_xlpm.space,SEARCH(" ",C35),_xlpm.first,LEFT(C35,1),_xlpm.last,MID(C35,_xlpm.space+1,LEN(C35)),LOWER(_xlpm.first&amp;_xlpm.last&amp;"@gswell.com"))</f>
        <v>cklein@gswell.com</v>
      </c>
      <c r="F35" s="3"/>
      <c r="G35" s="2" t="s">
        <v>81</v>
      </c>
      <c r="H35" s="13"/>
      <c r="I35" s="13"/>
      <c r="J35" s="13"/>
      <c r="K35" s="12" t="s">
        <v>17</v>
      </c>
      <c r="L35" s="13"/>
      <c r="M35" s="13"/>
      <c r="N35" s="13"/>
      <c r="O35" s="13"/>
    </row>
    <row r="36" spans="1:15" x14ac:dyDescent="0.25">
      <c r="A36" s="16" t="s">
        <v>74</v>
      </c>
      <c r="B36" s="16" t="s">
        <v>78</v>
      </c>
      <c r="C36" s="2" t="s">
        <v>91</v>
      </c>
      <c r="D36" s="8" t="s">
        <v>92</v>
      </c>
      <c r="E36" s="3" t="str" cm="1">
        <f t="array" ref="E36">_xlfn.LET(_xlpm.space,SEARCH(" ",C36),_xlpm.first,LEFT(C36,1),_xlpm.last,MID(C36,_xlpm.space+1,LEN(C36)),LOWER(_xlpm.first&amp;_xlpm.last&amp;"@gswell.com"))</f>
        <v>dprice@gswell.com</v>
      </c>
      <c r="F36" s="3"/>
      <c r="G36" s="2"/>
      <c r="H36" s="13"/>
      <c r="I36" s="13"/>
      <c r="J36" s="13"/>
      <c r="K36" s="12" t="s">
        <v>17</v>
      </c>
      <c r="L36" s="13"/>
      <c r="M36" s="13"/>
      <c r="N36" s="13"/>
      <c r="O36" s="13"/>
    </row>
    <row r="37" spans="1:15" x14ac:dyDescent="0.25">
      <c r="A37" s="16" t="s">
        <v>74</v>
      </c>
      <c r="B37" s="16" t="s">
        <v>78</v>
      </c>
      <c r="C37" s="2" t="s">
        <v>116</v>
      </c>
      <c r="D37" s="7" t="s">
        <v>117</v>
      </c>
      <c r="E37" s="3" t="str" cm="1">
        <f t="array" ref="E37">_xlfn.LET(_xlpm.space,SEARCH(" ",C37),_xlpm.first,LEFT(C37,1),_xlpm.last,MID(C37,_xlpm.space+1,LEN(C37)),LOWER(_xlpm.first&amp;_xlpm.last&amp;"@gswell.com"))</f>
        <v>rahmad@gswell.com</v>
      </c>
      <c r="F37" s="3"/>
      <c r="G37" s="4" t="s">
        <v>81</v>
      </c>
      <c r="H37" s="13"/>
      <c r="I37" s="13"/>
      <c r="J37" s="13"/>
      <c r="K37" s="12" t="s">
        <v>17</v>
      </c>
      <c r="L37" s="13"/>
      <c r="M37" s="13"/>
      <c r="N37" s="13"/>
      <c r="O37" s="13"/>
    </row>
    <row r="38" spans="1:15" x14ac:dyDescent="0.25">
      <c r="A38" s="16" t="s">
        <v>74</v>
      </c>
      <c r="B38" s="16" t="s">
        <v>96</v>
      </c>
      <c r="C38" s="2" t="s">
        <v>97</v>
      </c>
      <c r="D38" s="7" t="s">
        <v>98</v>
      </c>
      <c r="E38" s="3" t="str" cm="1">
        <f t="array" ref="E38">_xlfn.LET(_xlpm.space,SEARCH(" ",C38),_xlpm.first,LEFT(C38,1),_xlpm.last,MID(C38,_xlpm.space+1,LEN(C38)),LOWER(_xlpm.first&amp;_xlpm.last&amp;"@gswell.com"))</f>
        <v>hpatel@gswell.com</v>
      </c>
      <c r="F38" s="3"/>
      <c r="G38" s="4"/>
      <c r="H38" s="13"/>
      <c r="I38" s="13"/>
      <c r="J38" s="13"/>
      <c r="K38" s="12" t="s">
        <v>17</v>
      </c>
      <c r="L38" s="13"/>
      <c r="M38" s="13"/>
      <c r="N38" s="13"/>
      <c r="O38" s="13"/>
    </row>
    <row r="39" spans="1:15" x14ac:dyDescent="0.25">
      <c r="A39" s="16" t="s">
        <v>74</v>
      </c>
      <c r="B39" s="16" t="s">
        <v>96</v>
      </c>
      <c r="C39" s="2" t="s">
        <v>109</v>
      </c>
      <c r="D39" s="8" t="s">
        <v>110</v>
      </c>
      <c r="E39" s="3" t="str" cm="1">
        <f t="array" ref="E39">_xlfn.LET(_xlpm.space,SEARCH(" ",C39),_xlpm.first,LEFT(C39,1),_xlpm.last,MID(C39,_xlpm.space+1,LEN(C39)),LOWER(_xlpm.first&amp;_xlpm.last&amp;"@gswell.com"))</f>
        <v>mschumaker@gswell.com</v>
      </c>
      <c r="F39" s="3"/>
      <c r="G39" s="4"/>
      <c r="H39" s="13"/>
      <c r="I39" s="13"/>
      <c r="J39" s="13"/>
      <c r="K39" s="12" t="s">
        <v>17</v>
      </c>
      <c r="L39" s="13"/>
      <c r="M39" s="13"/>
      <c r="N39" s="13"/>
      <c r="O39" s="13"/>
    </row>
    <row r="40" spans="1:15" x14ac:dyDescent="0.25">
      <c r="A40" s="16" t="s">
        <v>74</v>
      </c>
      <c r="B40" s="16" t="s">
        <v>96</v>
      </c>
      <c r="C40" s="2" t="s">
        <v>118</v>
      </c>
      <c r="D40" s="7" t="s">
        <v>119</v>
      </c>
      <c r="E40" s="3" t="str" cm="1">
        <f t="array" ref="E40">_xlfn.LET(_xlpm.space,SEARCH(" ",C40),_xlpm.first,LEFT(C40,1),_xlpm.last,MID(C40,_xlpm.space+1,LEN(C40)),LOWER(_xlpm.first&amp;_xlpm.last&amp;"@gswell.com"))</f>
        <v>rabbott@gswell.com</v>
      </c>
      <c r="F40" s="3"/>
      <c r="G40" s="4" t="s">
        <v>81</v>
      </c>
      <c r="H40" s="13"/>
      <c r="I40" s="13"/>
      <c r="J40" s="13"/>
      <c r="K40" s="12" t="s">
        <v>17</v>
      </c>
      <c r="L40" s="13"/>
      <c r="M40" s="13"/>
      <c r="N40" s="13"/>
      <c r="O40" s="13"/>
    </row>
    <row r="41" spans="1:15" x14ac:dyDescent="0.25">
      <c r="A41" s="16" t="s">
        <v>74</v>
      </c>
      <c r="B41" s="16" t="s">
        <v>88</v>
      </c>
      <c r="C41" s="5" t="s">
        <v>89</v>
      </c>
      <c r="D41" s="7" t="s">
        <v>90</v>
      </c>
      <c r="E41" s="3" t="str" cm="1">
        <f t="array" ref="E41">_xlfn.LET(_xlpm.space,SEARCH(" ",C41),_xlpm.first,LEFT(C41,1),_xlpm.last,MID(C41,_xlpm.space+1,LEN(C41)),LOWER(_xlpm.first&amp;_xlpm.last&amp;"@gswell.com"))</f>
        <v>dware@gswell.com</v>
      </c>
      <c r="F41" s="3"/>
      <c r="G41" s="4"/>
      <c r="H41" s="13"/>
      <c r="I41" s="13"/>
      <c r="J41" s="13"/>
      <c r="K41" s="12" t="s">
        <v>17</v>
      </c>
      <c r="L41" s="13"/>
      <c r="M41" s="13"/>
      <c r="N41" s="13"/>
      <c r="O41" s="13"/>
    </row>
    <row r="42" spans="1:15" x14ac:dyDescent="0.25">
      <c r="A42" s="16" t="s">
        <v>74</v>
      </c>
      <c r="B42" s="16" t="s">
        <v>88</v>
      </c>
      <c r="C42" s="2" t="s">
        <v>104</v>
      </c>
      <c r="D42" s="2" t="s">
        <v>105</v>
      </c>
      <c r="E42" s="3" t="str" cm="1">
        <f t="array" ref="E42">_xlfn.LET(_xlpm.space,SEARCH(" ",C42),_xlpm.first,LEFT(C42,1),_xlpm.last,MID(C42,_xlpm.space+1,LEN(C42)),LOWER(_xlpm.first&amp;_xlpm.last&amp;"@gswell.com"))</f>
        <v>jharrison@gswell.com</v>
      </c>
      <c r="F42" s="3"/>
      <c r="G42" s="2" t="s">
        <v>81</v>
      </c>
      <c r="H42" s="13"/>
      <c r="I42" s="13"/>
      <c r="J42" s="13"/>
      <c r="K42" s="12" t="s">
        <v>17</v>
      </c>
      <c r="L42" s="13"/>
      <c r="M42" s="13"/>
      <c r="N42" s="13"/>
      <c r="O42" s="13"/>
    </row>
    <row r="43" spans="1:15" x14ac:dyDescent="0.25">
      <c r="A43" s="16" t="s">
        <v>74</v>
      </c>
      <c r="B43" s="16" t="s">
        <v>88</v>
      </c>
      <c r="C43" s="2" t="s">
        <v>106</v>
      </c>
      <c r="D43" s="2" t="s">
        <v>80</v>
      </c>
      <c r="E43" s="3" t="str" cm="1">
        <f t="array" ref="E43">_xlfn.LET(_xlpm.space,SEARCH(" ",C43),_xlpm.first,LEFT(C43,1),_xlpm.last,MID(C43,_xlpm.space+1,LEN(C43)),LOWER(_xlpm.first&amp;_xlpm.last&amp;"@gswell.com"))</f>
        <v>jwatts@gswell.com</v>
      </c>
      <c r="F43" s="3"/>
      <c r="G43" s="2" t="s">
        <v>81</v>
      </c>
      <c r="H43" s="13"/>
      <c r="I43" s="13"/>
      <c r="J43" s="13"/>
      <c r="K43" s="12" t="s">
        <v>17</v>
      </c>
      <c r="L43" s="13"/>
      <c r="M43" s="13"/>
      <c r="N43" s="13"/>
      <c r="O43" s="13"/>
    </row>
    <row r="44" spans="1:15" x14ac:dyDescent="0.25">
      <c r="A44" s="16" t="s">
        <v>74</v>
      </c>
      <c r="B44" s="16" t="s">
        <v>88</v>
      </c>
      <c r="C44" s="2" t="s">
        <v>123</v>
      </c>
      <c r="D44" s="2" t="s">
        <v>124</v>
      </c>
      <c r="E44" s="3" t="str" cm="1">
        <f t="array" ref="E44">_xlfn.LET(_xlpm.space,SEARCH(" ",C44),_xlpm.first,LEFT(C44,1),_xlpm.last,MID(C44,_xlpm.space+1,LEN(C44)),LOWER(_xlpm.first&amp;_xlpm.last&amp;"@gswell.com"))</f>
        <v>vcrognale@gswell.com</v>
      </c>
      <c r="F44" s="3"/>
      <c r="G44" s="2" t="s">
        <v>81</v>
      </c>
      <c r="H44" s="13"/>
      <c r="I44" s="13"/>
      <c r="J44" s="13"/>
      <c r="K44" s="12" t="s">
        <v>17</v>
      </c>
      <c r="L44" s="13"/>
      <c r="M44" s="13"/>
      <c r="N44" s="13"/>
      <c r="O44" s="13"/>
    </row>
    <row r="45" spans="1:15" x14ac:dyDescent="0.25">
      <c r="A45" s="16" t="s">
        <v>74</v>
      </c>
      <c r="B45" s="16" t="s">
        <v>13</v>
      </c>
      <c r="C45" s="2" t="s">
        <v>125</v>
      </c>
      <c r="D45" s="2" t="s">
        <v>77</v>
      </c>
      <c r="E45" s="3" t="s">
        <v>126</v>
      </c>
      <c r="F45" s="3"/>
      <c r="G45" s="2"/>
      <c r="H45" s="13"/>
      <c r="I45" s="13"/>
      <c r="J45" s="13"/>
      <c r="K45" s="12"/>
      <c r="L45" s="13"/>
      <c r="M45" s="13"/>
      <c r="N45" s="13"/>
      <c r="O45" s="13"/>
    </row>
    <row r="46" spans="1:15" x14ac:dyDescent="0.25">
      <c r="A46" s="16" t="s">
        <v>74</v>
      </c>
      <c r="B46" s="16" t="s">
        <v>101</v>
      </c>
      <c r="C46" s="2" t="s">
        <v>102</v>
      </c>
      <c r="D46" s="2" t="s">
        <v>103</v>
      </c>
      <c r="E46" s="3" t="str" cm="1">
        <f t="array" ref="E46">_xlfn.LET(_xlpm.space,SEARCH(" ",C46),_xlpm.first,LEFT(C46,1),_xlpm.last,MID(C46,_xlpm.space+1,LEN(C46)),LOWER(_xlpm.first&amp;_xlpm.last&amp;"@gswell.com"))</f>
        <v>jhelman@gswell.com</v>
      </c>
      <c r="F46" s="3"/>
      <c r="G46" s="2"/>
      <c r="H46" s="13"/>
      <c r="I46" s="13"/>
      <c r="J46" s="13"/>
      <c r="K46" s="12" t="s">
        <v>17</v>
      </c>
      <c r="L46" s="13"/>
      <c r="M46" s="13"/>
      <c r="N46" s="13"/>
      <c r="O46" s="13"/>
    </row>
    <row r="47" spans="1:15" x14ac:dyDescent="0.25">
      <c r="A47" s="16" t="s">
        <v>74</v>
      </c>
      <c r="B47" s="16" t="s">
        <v>101</v>
      </c>
      <c r="C47" s="2" t="s">
        <v>107</v>
      </c>
      <c r="D47" s="2" t="s">
        <v>108</v>
      </c>
      <c r="E47" s="3" t="str" cm="1">
        <f t="array" ref="E47">_xlfn.LET(_xlpm.space,SEARCH(" ",C47),_xlpm.first,LEFT(C47,1),_xlpm.last,MID(C47,_xlpm.space+1,LEN(C47)),LOWER(_xlpm.first&amp;_xlpm.last&amp;"@gswell.com"))</f>
        <v>kraghavan@gswell.com</v>
      </c>
      <c r="F47" s="3"/>
      <c r="G47" s="2"/>
      <c r="H47" s="13"/>
      <c r="I47" s="13"/>
      <c r="J47" s="13"/>
      <c r="K47" s="12" t="s">
        <v>17</v>
      </c>
      <c r="L47" s="13"/>
      <c r="M47" s="13"/>
      <c r="N47" s="13"/>
      <c r="O47" s="13"/>
    </row>
    <row r="48" spans="1:15" x14ac:dyDescent="0.25">
      <c r="A48" s="16" t="s">
        <v>74</v>
      </c>
      <c r="B48" s="16" t="s">
        <v>101</v>
      </c>
      <c r="C48" s="2" t="s">
        <v>113</v>
      </c>
      <c r="D48" s="2" t="s">
        <v>114</v>
      </c>
      <c r="E48" s="3" t="s">
        <v>115</v>
      </c>
      <c r="F48" s="3"/>
      <c r="G48" s="2"/>
      <c r="H48" s="13"/>
      <c r="I48" s="13"/>
      <c r="J48" s="13"/>
      <c r="K48" s="12" t="s">
        <v>17</v>
      </c>
      <c r="L48" s="13"/>
      <c r="M48" s="13"/>
      <c r="N48" s="13"/>
      <c r="O48" s="13"/>
    </row>
    <row r="49" spans="1:15" x14ac:dyDescent="0.25">
      <c r="A49" s="9" t="s">
        <v>1</v>
      </c>
      <c r="B49" s="9" t="s">
        <v>2</v>
      </c>
      <c r="C49" s="1" t="s">
        <v>3</v>
      </c>
      <c r="D49" s="1" t="s">
        <v>4</v>
      </c>
      <c r="E49" s="1" t="s">
        <v>5</v>
      </c>
      <c r="F49" s="1" t="s">
        <v>6</v>
      </c>
      <c r="G49" s="1" t="s">
        <v>7</v>
      </c>
      <c r="H49" s="12" t="s">
        <v>8</v>
      </c>
      <c r="I49" s="12" t="s">
        <v>9</v>
      </c>
      <c r="J49" s="12" t="s">
        <v>10</v>
      </c>
      <c r="K49" s="12" t="s">
        <v>11</v>
      </c>
      <c r="L49" s="12" t="s">
        <v>12</v>
      </c>
      <c r="M49" s="12" t="s">
        <v>13</v>
      </c>
      <c r="N49" s="12" t="s">
        <v>13</v>
      </c>
      <c r="O49" s="12" t="s">
        <v>13</v>
      </c>
    </row>
    <row r="50" spans="1:15" x14ac:dyDescent="0.25">
      <c r="A50" s="16" t="s">
        <v>127</v>
      </c>
      <c r="B50" s="16" t="s">
        <v>127</v>
      </c>
      <c r="C50" s="16" t="s">
        <v>127</v>
      </c>
      <c r="D50" s="16" t="s">
        <v>127</v>
      </c>
      <c r="E50" s="16" t="s">
        <v>127</v>
      </c>
      <c r="F50" s="16" t="s">
        <v>127</v>
      </c>
      <c r="G50" s="16" t="s">
        <v>127</v>
      </c>
      <c r="H50" s="16" t="s">
        <v>127</v>
      </c>
      <c r="I50" s="16" t="s">
        <v>127</v>
      </c>
      <c r="J50" s="16" t="s">
        <v>127</v>
      </c>
      <c r="K50" s="16" t="s">
        <v>127</v>
      </c>
      <c r="L50" s="16" t="s">
        <v>127</v>
      </c>
      <c r="M50" s="16" t="s">
        <v>127</v>
      </c>
      <c r="N50" s="16" t="s">
        <v>127</v>
      </c>
      <c r="O50" s="16" t="s">
        <v>127</v>
      </c>
    </row>
    <row r="51" spans="1:15" x14ac:dyDescent="0.25">
      <c r="A51" s="16"/>
      <c r="B51" s="16"/>
      <c r="C51" s="2"/>
      <c r="D51" s="2"/>
      <c r="E51" s="3"/>
      <c r="F51" s="3"/>
      <c r="G51" s="2"/>
      <c r="H51" s="13"/>
      <c r="I51" s="13"/>
      <c r="J51" s="13"/>
      <c r="K51" s="13"/>
      <c r="L51" s="13"/>
      <c r="M51" s="13"/>
      <c r="N51" s="13"/>
      <c r="O51" s="13"/>
    </row>
    <row r="52" spans="1:15" x14ac:dyDescent="0.25">
      <c r="A52" s="17"/>
      <c r="B52" s="17"/>
      <c r="C52" s="18"/>
      <c r="D52" s="18"/>
      <c r="E52" s="11"/>
      <c r="F52" s="11"/>
      <c r="G52" s="18"/>
      <c r="H52" s="19"/>
      <c r="I52" s="19"/>
      <c r="J52" s="19"/>
      <c r="K52" s="19"/>
      <c r="L52" s="19"/>
      <c r="M52" s="19"/>
      <c r="N52" s="19"/>
      <c r="O52" s="19"/>
    </row>
  </sheetData>
  <sortState xmlns:xlrd2="http://schemas.microsoft.com/office/spreadsheetml/2017/richdata2" ref="A2:O52">
    <sortCondition ref="A2:A52"/>
    <sortCondition ref="B2:B52"/>
  </sortState>
  <mergeCells count="1">
    <mergeCell ref="H1:O1"/>
  </mergeCells>
  <hyperlinks>
    <hyperlink ref="E21" r:id="rId1" xr:uid="{0A0CCB3B-79BA-4DCB-AED3-6B62E5334BC7}"/>
    <hyperlink ref="F19" r:id="rId2" xr:uid="{1D972ECA-69C6-4634-9A69-9A121528A95C}"/>
    <hyperlink ref="E19" r:id="rId3" xr:uid="{9294210B-42DA-4240-AEBF-C1357CC51228}"/>
    <hyperlink ref="F21" r:id="rId4" xr:uid="{32F87CC1-602D-4444-98E7-6244EF58A21D}"/>
    <hyperlink ref="E12" r:id="rId5" xr:uid="{978EE098-494D-4980-AC89-E019AEEDE691}"/>
    <hyperlink ref="E9" r:id="rId6" xr:uid="{117F91FD-159C-48E8-9467-9A8D32181A9D}"/>
    <hyperlink ref="E10" r:id="rId7" xr:uid="{94CBC9FD-7A84-4BE7-8F17-D4D281E1BCC1}"/>
    <hyperlink ref="E13" r:id="rId8" xr:uid="{DBCD1E0F-4297-4E8D-BFE7-95D2105F384C}"/>
    <hyperlink ref="E15" r:id="rId9" xr:uid="{3763C1D4-D309-4140-96C9-1EF00D1A2F05}"/>
    <hyperlink ref="E3" r:id="rId10" xr:uid="{B116E042-A7C1-46A9-8EBE-181DCE288B2A}"/>
    <hyperlink ref="E7" r:id="rId11" xr:uid="{1DE8E5A2-81E1-496D-9ED0-4FE665DA0F48}"/>
    <hyperlink ref="E14" r:id="rId12" xr:uid="{AC4BCDD0-F34E-4E04-8188-93FEB8B2CFC4}"/>
    <hyperlink ref="E4" r:id="rId13" xr:uid="{B942CBD2-88AA-42F4-B5E6-4222042A65B0}"/>
    <hyperlink ref="E17" r:id="rId14" xr:uid="{90C0D5D7-089A-40BD-AE38-A754D380733F}"/>
    <hyperlink ref="E20" r:id="rId15" xr:uid="{8EDF4C71-C132-4506-BBBB-BBB754474B01}"/>
    <hyperlink ref="E18" r:id="rId16" xr:uid="{6888CB3B-33A2-424A-BEA1-ACED3BC9C1A7}"/>
    <hyperlink ref="E11" r:id="rId17" xr:uid="{CFA26FA8-C54A-478A-93A5-57CDFEB424AB}"/>
    <hyperlink ref="E16" r:id="rId18" xr:uid="{F82302D4-FB49-4DE8-A9B7-1EC79C2104F3}"/>
    <hyperlink ref="E6" r:id="rId19" xr:uid="{C044F820-5B2A-46E7-8D0C-BC776F12202E}"/>
    <hyperlink ref="E8" r:id="rId20" xr:uid="{9456E125-C433-4C4C-B181-90C87E7453A3}"/>
    <hyperlink ref="E31" r:id="rId21" xr:uid="{9C381FBF-E1F3-4A8B-A809-D0D23B01558A}"/>
    <hyperlink ref="E45" r:id="rId22" xr:uid="{47DC2E11-226C-49B0-8A31-33D03D555D44}"/>
    <hyperlink ref="E48" r:id="rId23" xr:uid="{D5EC478B-A4C3-435E-A3B1-182A2BDC78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A32C4F77C3334C8BFEB5332318D1AA" ma:contentTypeVersion="20" ma:contentTypeDescription="Create a new document." ma:contentTypeScope="" ma:versionID="e503fcb77c401b4776d7639fafadf98e">
  <xsd:schema xmlns:xsd="http://www.w3.org/2001/XMLSchema" xmlns:xs="http://www.w3.org/2001/XMLSchema" xmlns:p="http://schemas.microsoft.com/office/2006/metadata/properties" xmlns:ns2="d8f5ae6a-ec56-40f2-bc7a-3e59f76e0214" xmlns:ns3="99f14b95-789e-40d6-8c96-5e9cb7a3146a" targetNamespace="http://schemas.microsoft.com/office/2006/metadata/properties" ma:root="true" ma:fieldsID="003ceb8c8fedf0e7e02e08678ccfce0f" ns2:_="" ns3:_="">
    <xsd:import namespace="d8f5ae6a-ec56-40f2-bc7a-3e59f76e0214"/>
    <xsd:import namespace="99f14b95-789e-40d6-8c96-5e9cb7a31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Order0" minOccurs="0"/>
                <xsd:element ref="ns2:ReviewStatus" minOccurs="0"/>
                <xsd:element ref="ns2:Epic" minOccurs="0"/>
                <xsd:element ref="ns2:Doc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5ae6a-ec56-40f2-bc7a-3e59f76e0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e8826d9-3e3f-4f02-9e43-158d602268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rder0" ma:index="23" nillable="true" ma:displayName="Order" ma:format="Dropdown" ma:internalName="Order0" ma:percentage="FALSE">
      <xsd:simpleType>
        <xsd:restriction base="dms:Number"/>
      </xsd:simpleType>
    </xsd:element>
    <xsd:element name="ReviewStatus" ma:index="24" nillable="true" ma:displayName="Status" ma:format="Dropdown" ma:internalName="ReviewStatus">
      <xsd:simpleType>
        <xsd:restriction base="dms:Choice">
          <xsd:enumeration value="Draft"/>
          <xsd:enumeration value="Ready for Review"/>
          <xsd:enumeration value="Complete"/>
        </xsd:restriction>
      </xsd:simpleType>
    </xsd:element>
    <xsd:element name="Epic" ma:index="25" nillable="true" ma:displayName="Locations" ma:format="Dropdown" ma:internalName="Epic">
      <xsd:simpleType>
        <xsd:restriction base="dms:Choice">
          <xsd:enumeration value="Program"/>
          <xsd:enumeration value="Project"/>
          <xsd:enumeration value="Procurement"/>
          <xsd:enumeration value="Admin Actions"/>
          <xsd:enumeration value="System"/>
        </xsd:restriction>
      </xsd:simpleType>
    </xsd:element>
    <xsd:element name="DocStatus" ma:index="26" nillable="true" ma:displayName="Doc Status" ma:description="Where the document is in process" ma:format="Dropdown" ma:internalName="DocStatus">
      <xsd:simpleType>
        <xsd:restriction base="dms:Choice">
          <xsd:enumeration value="Draft"/>
          <xsd:enumeration value="Ready to Review"/>
          <xsd:enumeration value="Complete"/>
          <xsd:enumeration value="Work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14b95-789e-40d6-8c96-5e9cb7a3146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29b5353-a9a8-4096-a487-da5c02bb385e}" ma:internalName="TaxCatchAll" ma:showField="CatchAllData" ma:web="99f14b95-789e-40d6-8c96-5e9cb7a31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f5ae6a-ec56-40f2-bc7a-3e59f76e0214">
      <Terms xmlns="http://schemas.microsoft.com/office/infopath/2007/PartnerControls"/>
    </lcf76f155ced4ddcb4097134ff3c332f>
    <ReviewStatus xmlns="d8f5ae6a-ec56-40f2-bc7a-3e59f76e0214" xsi:nil="true"/>
    <Order0 xmlns="d8f5ae6a-ec56-40f2-bc7a-3e59f76e0214" xsi:nil="true"/>
    <TaxCatchAll xmlns="99f14b95-789e-40d6-8c96-5e9cb7a3146a" xsi:nil="true"/>
    <Epic xmlns="d8f5ae6a-ec56-40f2-bc7a-3e59f76e0214" xsi:nil="true"/>
    <DocStatus xmlns="d8f5ae6a-ec56-40f2-bc7a-3e59f76e02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84B082-4297-4304-919B-A6E1CDAB91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f5ae6a-ec56-40f2-bc7a-3e59f76e0214"/>
    <ds:schemaRef ds:uri="99f14b95-789e-40d6-8c96-5e9cb7a31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4F62CE-7C07-437E-B51C-7ECC929B6B47}">
  <ds:schemaRefs>
    <ds:schemaRef ds:uri="http://schemas.microsoft.com/office/2006/metadata/properties"/>
    <ds:schemaRef ds:uri="http://schemas.microsoft.com/office/infopath/2007/PartnerControls"/>
    <ds:schemaRef ds:uri="d8f5ae6a-ec56-40f2-bc7a-3e59f76e0214"/>
    <ds:schemaRef ds:uri="99f14b95-789e-40d6-8c96-5e9cb7a3146a"/>
  </ds:schemaRefs>
</ds:datastoreItem>
</file>

<file path=customXml/itemProps3.xml><?xml version="1.0" encoding="utf-8"?>
<ds:datastoreItem xmlns:ds="http://schemas.openxmlformats.org/officeDocument/2006/customXml" ds:itemID="{955F9B7D-B36B-4784-87AC-0D37530682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 Roster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Phaniraju Srichinta</cp:lastModifiedBy>
  <cp:revision/>
  <dcterms:created xsi:type="dcterms:W3CDTF">2024-10-18T20:54:25Z</dcterms:created>
  <dcterms:modified xsi:type="dcterms:W3CDTF">2026-08-20T15:12:57Z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0x010100D8A32C4F77C3334C8BFEB5332318D1AA</vt:lpwstr>
  </property>
  <property fmtid="{D5CDD505-2E9C-101B-9397-08002B2CF9AE}" pid="3" name="MediaServiceImageTags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